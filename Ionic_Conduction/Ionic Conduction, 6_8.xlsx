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<sst xmlns="http://schemas.openxmlformats.org/spreadsheetml/2006/main" count="9" uniqueCount="9">
  <si>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T( deg C)</t>
  </si>
  <si>
    <t>T (K)</t>
  </si>
  <si>
    <t>I (muA)</t>
  </si>
  <si>
    <t xml:space="preserve"> V (in V)</t>
  </si>
  <si>
    <t>K</t>
  </si>
  <si>
    <t>log(K)</t>
  </si>
  <si>
    <t>1/T</t>
  </si>
  <si>
    <t>h=7.00 mm</t>
  </si>
  <si>
    <t>2r=13.46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</si>
</sst>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22.75"/>
    <col customWidth="1" min="6" max="6" width="28.75"/>
    <col customWidth="1" min="7" max="7" width="24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I1" s="4"/>
      <c r="J1" s="1" t="s">
        <v>7</v>
      </c>
      <c r="K1" s="2" t="s">
        <v>8</v>
      </c>
      <c r="L1" s="4"/>
      <c r="O1" s="4"/>
      <c r="P1" s="4"/>
    </row>
    <row r="2">
      <c r="A2" s="4">
        <v>684.0</v>
      </c>
      <c r="B2" s="5">
        <f t="shared" ref="B2:B30" si="1">A2+ 273.16</f>
        <v>957.16</v>
      </c>
      <c r="C2" s="4">
        <v>2240.0</v>
      </c>
      <c r="D2" s="4">
        <v>10.0</v>
      </c>
      <c r="E2" s="5">
        <f t="shared" ref="E2:E30" si="2">((C2*10^-6)*7*10^-3)/(D2*(3.14*6.73^2*10^-6))</f>
        <v>0.01102519506</v>
      </c>
      <c r="F2" s="5">
        <f t="shared" ref="F2:F30" si="3">LOG(E2)</f>
        <v>-1.957613718</v>
      </c>
      <c r="G2" s="5">
        <f t="shared" ref="G2:G30" si="4">(1/B2)</f>
        <v>0.001044757407</v>
      </c>
    </row>
    <row r="3">
      <c r="A3" s="4">
        <v>670.0</v>
      </c>
      <c r="B3" s="5">
        <f t="shared" si="1"/>
        <v>943.16</v>
      </c>
      <c r="C3" s="4">
        <v>1691.0</v>
      </c>
      <c r="D3" s="4">
        <v>10.0</v>
      </c>
      <c r="E3" s="5">
        <f t="shared" si="2"/>
        <v>0.008323037878</v>
      </c>
      <c r="F3" s="5">
        <f t="shared" si="3"/>
        <v>-2.079718129</v>
      </c>
      <c r="G3" s="5">
        <f t="shared" si="4"/>
        <v>0.00106026549</v>
      </c>
    </row>
    <row r="4">
      <c r="A4" s="4">
        <v>660.0</v>
      </c>
      <c r="B4" s="5">
        <f t="shared" si="1"/>
        <v>933.16</v>
      </c>
      <c r="C4" s="4">
        <v>1312.0</v>
      </c>
      <c r="D4" s="4">
        <v>10.0</v>
      </c>
      <c r="E4" s="5">
        <f t="shared" si="2"/>
        <v>0.006457614249</v>
      </c>
      <c r="F4" s="5">
        <f t="shared" si="3"/>
        <v>-2.189927901</v>
      </c>
      <c r="G4" s="5">
        <f t="shared" si="4"/>
        <v>0.001071627588</v>
      </c>
    </row>
    <row r="5">
      <c r="A5" s="4">
        <v>650.0</v>
      </c>
      <c r="B5" s="5">
        <f t="shared" si="1"/>
        <v>923.16</v>
      </c>
      <c r="C5" s="4">
        <v>990.0</v>
      </c>
      <c r="D5" s="4">
        <v>10.0</v>
      </c>
      <c r="E5" s="5">
        <f t="shared" si="2"/>
        <v>0.004872742459</v>
      </c>
      <c r="F5" s="5">
        <f t="shared" si="3"/>
        <v>-2.312226542</v>
      </c>
      <c r="G5" s="5">
        <f t="shared" si="4"/>
        <v>0.001083235842</v>
      </c>
    </row>
    <row r="6">
      <c r="A6" s="4">
        <v>640.0</v>
      </c>
      <c r="B6" s="5">
        <f t="shared" si="1"/>
        <v>913.16</v>
      </c>
      <c r="C6" s="4">
        <v>777.0</v>
      </c>
      <c r="D6" s="4">
        <v>10.0</v>
      </c>
      <c r="E6" s="5">
        <f t="shared" si="2"/>
        <v>0.003824364536</v>
      </c>
      <c r="F6" s="5">
        <f t="shared" si="3"/>
        <v>-2.417440718</v>
      </c>
      <c r="G6" s="5">
        <f t="shared" si="4"/>
        <v>0.00109509834</v>
      </c>
    </row>
    <row r="7">
      <c r="A7" s="4">
        <v>630.0</v>
      </c>
      <c r="B7" s="5">
        <f t="shared" si="1"/>
        <v>903.16</v>
      </c>
      <c r="C7" s="4">
        <v>613.0</v>
      </c>
      <c r="D7" s="4">
        <v>10.0</v>
      </c>
      <c r="E7" s="5">
        <f t="shared" si="2"/>
        <v>0.003017162755</v>
      </c>
      <c r="F7" s="5">
        <f t="shared" si="3"/>
        <v>-2.520401262</v>
      </c>
      <c r="G7" s="5">
        <f t="shared" si="4"/>
        <v>0.001107223526</v>
      </c>
    </row>
    <row r="8">
      <c r="A8" s="4">
        <v>620.0</v>
      </c>
      <c r="B8" s="5">
        <f t="shared" si="1"/>
        <v>893.16</v>
      </c>
      <c r="C8" s="4">
        <v>509.0</v>
      </c>
      <c r="D8" s="4">
        <v>10.0</v>
      </c>
      <c r="E8" s="5">
        <f t="shared" si="2"/>
        <v>0.002505278699</v>
      </c>
      <c r="F8" s="5">
        <f t="shared" si="3"/>
        <v>-2.601143954</v>
      </c>
      <c r="G8" s="5">
        <f t="shared" si="4"/>
        <v>0.001119620225</v>
      </c>
    </row>
    <row r="9">
      <c r="A9" s="4">
        <v>610.0</v>
      </c>
      <c r="B9" s="5">
        <f t="shared" si="1"/>
        <v>883.16</v>
      </c>
      <c r="C9" s="4">
        <v>415.0</v>
      </c>
      <c r="D9" s="4">
        <v>10.0</v>
      </c>
      <c r="E9" s="5">
        <f t="shared" si="2"/>
        <v>0.002042614263</v>
      </c>
      <c r="F9" s="5">
        <f t="shared" si="3"/>
        <v>-2.68981364</v>
      </c>
      <c r="G9" s="5">
        <f t="shared" si="4"/>
        <v>0.001132297658</v>
      </c>
    </row>
    <row r="10">
      <c r="A10" s="4">
        <v>600.0</v>
      </c>
      <c r="B10" s="5">
        <f t="shared" si="1"/>
        <v>873.16</v>
      </c>
      <c r="C10" s="4">
        <v>333.0</v>
      </c>
      <c r="D10" s="4">
        <v>10.0</v>
      </c>
      <c r="E10" s="5">
        <f t="shared" si="2"/>
        <v>0.001639013373</v>
      </c>
      <c r="F10" s="5">
        <f t="shared" si="3"/>
        <v>-2.785417503</v>
      </c>
      <c r="G10" s="5">
        <f t="shared" si="4"/>
        <v>0.001145265473</v>
      </c>
    </row>
    <row r="11">
      <c r="A11" s="4">
        <v>590.0</v>
      </c>
      <c r="B11" s="5">
        <f t="shared" si="1"/>
        <v>863.16</v>
      </c>
      <c r="C11" s="4">
        <v>235.0</v>
      </c>
      <c r="D11" s="4">
        <v>10.0</v>
      </c>
      <c r="E11" s="5">
        <f t="shared" si="2"/>
        <v>0.001156661089</v>
      </c>
      <c r="F11" s="5">
        <f t="shared" si="3"/>
        <v>-2.936793874</v>
      </c>
      <c r="G11" s="5">
        <f t="shared" si="4"/>
        <v>0.00115853376</v>
      </c>
    </row>
    <row r="12">
      <c r="A12" s="4">
        <v>580.0</v>
      </c>
      <c r="B12" s="5">
        <f t="shared" si="1"/>
        <v>853.16</v>
      </c>
      <c r="C12" s="4">
        <v>177.0</v>
      </c>
      <c r="D12" s="4">
        <v>10.0</v>
      </c>
      <c r="E12" s="5">
        <f t="shared" si="2"/>
        <v>0.0008711872882</v>
      </c>
      <c r="F12" s="5">
        <f t="shared" si="3"/>
        <v>-3.05988847</v>
      </c>
      <c r="G12" s="5">
        <f t="shared" si="4"/>
        <v>0.001172113085</v>
      </c>
    </row>
    <row r="13">
      <c r="A13" s="4">
        <v>570.0</v>
      </c>
      <c r="B13" s="5">
        <f t="shared" si="1"/>
        <v>843.16</v>
      </c>
      <c r="C13" s="4">
        <v>140.0</v>
      </c>
      <c r="D13" s="4">
        <v>10.0</v>
      </c>
      <c r="E13" s="5">
        <f t="shared" si="2"/>
        <v>0.0006890746912</v>
      </c>
      <c r="F13" s="5">
        <f t="shared" si="3"/>
        <v>-3.161733701</v>
      </c>
      <c r="G13" s="5">
        <f t="shared" si="4"/>
        <v>0.001186014517</v>
      </c>
    </row>
    <row r="14">
      <c r="A14" s="4">
        <v>560.0</v>
      </c>
      <c r="B14" s="5">
        <f t="shared" si="1"/>
        <v>833.16</v>
      </c>
      <c r="C14" s="4">
        <v>111.0</v>
      </c>
      <c r="D14" s="4">
        <v>10.0</v>
      </c>
      <c r="E14" s="5">
        <f t="shared" si="2"/>
        <v>0.0005463377909</v>
      </c>
      <c r="F14" s="5">
        <f t="shared" si="3"/>
        <v>-3.262538758</v>
      </c>
      <c r="G14" s="5">
        <f t="shared" si="4"/>
        <v>0.001200249652</v>
      </c>
    </row>
    <row r="15">
      <c r="A15" s="4">
        <v>550.0</v>
      </c>
      <c r="B15" s="5">
        <f t="shared" si="1"/>
        <v>823.16</v>
      </c>
      <c r="C15" s="4">
        <v>88.0</v>
      </c>
      <c r="D15" s="4">
        <v>10.0</v>
      </c>
      <c r="E15" s="5">
        <f t="shared" si="2"/>
        <v>0.0004331326631</v>
      </c>
      <c r="F15" s="5">
        <f t="shared" si="3"/>
        <v>-3.363379064</v>
      </c>
      <c r="G15" s="5">
        <f t="shared" si="4"/>
        <v>0.001214830653</v>
      </c>
    </row>
    <row r="16">
      <c r="A16" s="4">
        <v>540.0</v>
      </c>
      <c r="B16" s="5">
        <f t="shared" si="1"/>
        <v>813.16</v>
      </c>
      <c r="C16" s="4">
        <v>71.0</v>
      </c>
      <c r="D16" s="4">
        <v>10.0</v>
      </c>
      <c r="E16" s="5">
        <f t="shared" si="2"/>
        <v>0.0003494593077</v>
      </c>
      <c r="F16" s="5">
        <f t="shared" si="3"/>
        <v>-3.456603388</v>
      </c>
      <c r="G16" s="5">
        <f t="shared" si="4"/>
        <v>0.001229770279</v>
      </c>
    </row>
    <row r="17">
      <c r="A17" s="4">
        <v>530.0</v>
      </c>
      <c r="B17" s="5">
        <f t="shared" si="1"/>
        <v>803.16</v>
      </c>
      <c r="C17" s="4">
        <v>56.0</v>
      </c>
      <c r="D17" s="4">
        <v>10.0</v>
      </c>
      <c r="E17" s="5">
        <f t="shared" si="2"/>
        <v>0.0002756298765</v>
      </c>
      <c r="F17" s="5">
        <f t="shared" si="3"/>
        <v>-3.55967371</v>
      </c>
      <c r="G17" s="5">
        <f t="shared" si="4"/>
        <v>0.001245081926</v>
      </c>
    </row>
    <row r="18">
      <c r="A18" s="4">
        <v>520.0</v>
      </c>
      <c r="B18" s="5">
        <f t="shared" si="1"/>
        <v>793.16</v>
      </c>
      <c r="C18" s="4">
        <v>45.0</v>
      </c>
      <c r="D18" s="4">
        <v>10.0</v>
      </c>
      <c r="E18" s="5">
        <f t="shared" si="2"/>
        <v>0.0002214882936</v>
      </c>
      <c r="F18" s="5">
        <f t="shared" si="3"/>
        <v>-3.654649223</v>
      </c>
      <c r="G18" s="5">
        <f t="shared" si="4"/>
        <v>0.001260779666</v>
      </c>
    </row>
    <row r="19">
      <c r="A19" s="4">
        <v>510.0</v>
      </c>
      <c r="B19" s="5">
        <f t="shared" si="1"/>
        <v>783.16</v>
      </c>
      <c r="C19" s="4">
        <v>37.0</v>
      </c>
      <c r="D19" s="4">
        <v>10.0</v>
      </c>
      <c r="E19" s="5">
        <f t="shared" si="2"/>
        <v>0.000182112597</v>
      </c>
      <c r="F19" s="5">
        <f t="shared" si="3"/>
        <v>-3.739660012</v>
      </c>
      <c r="G19" s="5">
        <f t="shared" si="4"/>
        <v>0.001276878288</v>
      </c>
    </row>
    <row r="20">
      <c r="A20" s="4">
        <v>500.0</v>
      </c>
      <c r="B20" s="5">
        <f t="shared" si="1"/>
        <v>773.16</v>
      </c>
      <c r="C20" s="4">
        <v>31.0</v>
      </c>
      <c r="D20" s="4">
        <v>10.0</v>
      </c>
      <c r="E20" s="5">
        <f t="shared" si="2"/>
        <v>0.0001525808245</v>
      </c>
      <c r="F20" s="5">
        <f t="shared" si="3"/>
        <v>-3.816500043</v>
      </c>
      <c r="G20" s="5">
        <f t="shared" si="4"/>
        <v>0.001293393347</v>
      </c>
    </row>
    <row r="21">
      <c r="A21" s="4">
        <v>490.0</v>
      </c>
      <c r="B21" s="5">
        <f t="shared" si="1"/>
        <v>763.16</v>
      </c>
      <c r="C21" s="4">
        <v>25.0</v>
      </c>
      <c r="D21" s="4">
        <v>10.0</v>
      </c>
      <c r="E21" s="5">
        <f t="shared" si="2"/>
        <v>0.000123049052</v>
      </c>
      <c r="F21" s="5">
        <f t="shared" si="3"/>
        <v>-3.909921728</v>
      </c>
      <c r="G21" s="5">
        <f t="shared" si="4"/>
        <v>0.001310341213</v>
      </c>
    </row>
    <row r="22">
      <c r="A22" s="4">
        <v>480.0</v>
      </c>
      <c r="B22" s="5">
        <f t="shared" si="1"/>
        <v>753.16</v>
      </c>
      <c r="C22" s="4">
        <v>21.0</v>
      </c>
      <c r="D22" s="4">
        <v>10.0</v>
      </c>
      <c r="E22" s="5">
        <f t="shared" si="2"/>
        <v>0.0001033612037</v>
      </c>
      <c r="F22" s="5">
        <f t="shared" si="3"/>
        <v>-3.985642442</v>
      </c>
      <c r="G22" s="5">
        <f t="shared" si="4"/>
        <v>0.001327739126</v>
      </c>
    </row>
    <row r="23">
      <c r="A23" s="4">
        <v>470.0</v>
      </c>
      <c r="B23" s="5">
        <f t="shared" si="1"/>
        <v>743.16</v>
      </c>
      <c r="C23" s="4">
        <v>17.0</v>
      </c>
      <c r="D23" s="4">
        <v>10.0</v>
      </c>
      <c r="E23" s="5">
        <f t="shared" si="2"/>
        <v>0.00008367335536</v>
      </c>
      <c r="F23" s="5">
        <f t="shared" si="3"/>
        <v>-4.077412815</v>
      </c>
      <c r="G23" s="5">
        <f t="shared" si="4"/>
        <v>0.001345605253</v>
      </c>
    </row>
    <row r="24">
      <c r="A24" s="4">
        <v>460.0</v>
      </c>
      <c r="B24" s="5">
        <f t="shared" si="1"/>
        <v>733.16</v>
      </c>
      <c r="C24" s="4">
        <v>14.0</v>
      </c>
      <c r="D24" s="4">
        <v>10.0</v>
      </c>
      <c r="E24" s="5">
        <f t="shared" si="2"/>
        <v>0.00006890746912</v>
      </c>
      <c r="F24" s="5">
        <f t="shared" si="3"/>
        <v>-4.161733701</v>
      </c>
      <c r="G24" s="5">
        <f t="shared" si="4"/>
        <v>0.001363958754</v>
      </c>
    </row>
    <row r="25">
      <c r="A25" s="4">
        <v>455.0</v>
      </c>
      <c r="B25" s="5">
        <f t="shared" si="1"/>
        <v>728.16</v>
      </c>
      <c r="C25" s="4">
        <v>12.0</v>
      </c>
      <c r="D25" s="4">
        <v>10.0</v>
      </c>
      <c r="E25" s="5">
        <f t="shared" si="2"/>
        <v>0.00005906354496</v>
      </c>
      <c r="F25" s="5">
        <f t="shared" si="3"/>
        <v>-4.22868049</v>
      </c>
      <c r="G25" s="5">
        <f t="shared" si="4"/>
        <v>0.001373324544</v>
      </c>
    </row>
    <row r="26">
      <c r="A26" s="4">
        <v>450.0</v>
      </c>
      <c r="B26" s="5">
        <f t="shared" si="1"/>
        <v>723.16</v>
      </c>
      <c r="C26" s="6">
        <v>11.0</v>
      </c>
      <c r="D26" s="4">
        <v>10.0</v>
      </c>
      <c r="E26" s="5">
        <f t="shared" si="2"/>
        <v>0.00005414158288</v>
      </c>
      <c r="F26" s="5">
        <f t="shared" si="3"/>
        <v>-4.266469051</v>
      </c>
      <c r="G26" s="5">
        <f t="shared" si="4"/>
        <v>0.001382819846</v>
      </c>
    </row>
    <row r="27">
      <c r="A27" s="4">
        <v>445.0</v>
      </c>
      <c r="B27" s="5">
        <f t="shared" si="1"/>
        <v>718.16</v>
      </c>
      <c r="C27" s="6">
        <v>10.0</v>
      </c>
      <c r="D27" s="4">
        <v>10.0</v>
      </c>
      <c r="E27" s="5">
        <f t="shared" si="2"/>
        <v>0.0000492196208</v>
      </c>
      <c r="F27" s="5">
        <f t="shared" si="3"/>
        <v>-4.307861737</v>
      </c>
      <c r="G27" s="5">
        <f t="shared" si="4"/>
        <v>0.001392447365</v>
      </c>
    </row>
    <row r="28">
      <c r="A28" s="4">
        <v>440.0</v>
      </c>
      <c r="B28" s="5">
        <f t="shared" si="1"/>
        <v>713.16</v>
      </c>
      <c r="C28" s="6">
        <v>9.0</v>
      </c>
      <c r="D28" s="4">
        <v>10.0</v>
      </c>
      <c r="E28" s="5">
        <f t="shared" si="2"/>
        <v>0.00004429765872</v>
      </c>
      <c r="F28" s="5">
        <f t="shared" si="3"/>
        <v>-4.353619227</v>
      </c>
      <c r="G28" s="5">
        <f t="shared" si="4"/>
        <v>0.001402209883</v>
      </c>
    </row>
    <row r="29">
      <c r="A29" s="4">
        <v>435.0</v>
      </c>
      <c r="B29" s="5">
        <f t="shared" si="1"/>
        <v>708.16</v>
      </c>
      <c r="C29" s="6">
        <v>8.0</v>
      </c>
      <c r="D29" s="4">
        <v>10.0</v>
      </c>
      <c r="E29" s="5">
        <f t="shared" si="2"/>
        <v>0.00003937569664</v>
      </c>
      <c r="F29" s="5">
        <f t="shared" si="3"/>
        <v>-4.40477175</v>
      </c>
      <c r="G29" s="5">
        <f t="shared" si="4"/>
        <v>0.001412110258</v>
      </c>
    </row>
    <row r="30">
      <c r="A30" s="4">
        <v>430.0</v>
      </c>
      <c r="B30" s="5">
        <f t="shared" si="1"/>
        <v>703.16</v>
      </c>
      <c r="C30" s="6">
        <v>7.0</v>
      </c>
      <c r="D30" s="4">
        <v>10.0</v>
      </c>
      <c r="E30" s="5">
        <f t="shared" si="2"/>
        <v>0.00003445373456</v>
      </c>
      <c r="F30" s="5">
        <f t="shared" si="3"/>
        <v>-4.462763696</v>
      </c>
      <c r="G30" s="5">
        <f t="shared" si="4"/>
        <v>0.001422151431</v>
      </c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