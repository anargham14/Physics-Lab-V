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<sst xmlns="http://schemas.openxmlformats.org/spreadsheetml/2006/main" count="19" uniqueCount="19">
  <si>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V (in kV)</t>
  </si>
  <si>
    <t xml:space="preserve">V (in V)</t>
  </si>
  <si>
    <t xml:space="preserve">d_2 (in mm) MSR</t>
  </si>
  <si>
    <t xml:space="preserve">VCR (r_2)</t>
  </si>
  <si>
    <t xml:space="preserve">d_2 ( in mm)</t>
  </si>
  <si>
    <t xml:space="preserve">d_2 (in m)</t>
  </si>
  <si>
    <t xml:space="preserve">sin(theta_2)</t>
  </si>
  <si>
    <t xml:space="preserve">d_1 (in mm) MSR</t>
  </si>
  <si>
    <t xml:space="preserve">VCR (d_1)</t>
  </si>
  <si>
    <t xml:space="preserve">d_1 (in mm)</t>
  </si>
  <si>
    <t xml:space="preserve">d_1 (in m)</t>
  </si>
  <si>
    <t xml:space="preserve">sin(theta_1)</t>
  </si>
  <si>
    <t xml:space="preserve">lambda from 100 (in m)</t>
  </si>
  <si>
    <t xml:space="preserve">lambda from 110 (in m)</t>
  </si>
  <si>
    <t xml:space="preserve">De Broglie (in m)</t>
  </si>
  <si>
    <t xml:space="preserve">L (+-3 mm, in mm)</t>
  </si>
  <si>
    <t xml:space="preserve">D=100 mm</t>
  </si>
  <si>
    <t xml:space="preserve">D_2 for 0.213</t>
  </si>
  <si>
    <t xml:space="preserve">D_1 for 0.123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</si>
</sst>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E+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4"/>
  <sheetViews>
    <sheetView showFormulas="false" showGridLines="true" showRowColHeaders="true" showZeros="true" rightToLeft="false" tabSelected="true" showOutlineSymbols="true" defaultGridColor="true" view="normal" topLeftCell="C3" colorId="64" zoomScale="100" zoomScaleNormal="100" zoomScalePageLayoutView="100" workbookViewId="0">
      <selection pane="topLeft" activeCell="J26" activeCellId="0" sqref="J26"/>
    </sheetView>
  </sheetViews>
  <sheetFormatPr defaultColWidth="12.6328125" defaultRowHeight="15.75" zeroHeight="false" outlineLevelRow="0" outlineLevelCol="0"/>
  <cols>
    <col collapsed="false" customWidth="true" hidden="false" outlineLevel="0" max="3" min="2" style="0" width="28.1"/>
    <col collapsed="false" customWidth="true" hidden="false" outlineLevel="0" max="5" min="5" style="0" width="20.86"/>
    <col collapsed="false" customWidth="true" hidden="false" outlineLevel="0" max="8" min="7" style="0" width="21.43"/>
    <col collapsed="false" customWidth="true" hidden="false" outlineLevel="0" max="10" min="10" style="0" width="26.7"/>
    <col collapsed="false" customWidth="true" hidden="false" outlineLevel="0" max="11" min="11" style="0" width="19.75"/>
    <col collapsed="false" customWidth="true" hidden="false" outlineLevel="0" max="13" min="12" style="0" width="25.45"/>
    <col collapsed="false" customWidth="true" hidden="false" outlineLevel="0" max="14" min="14" style="0" width="23.22"/>
    <col collapsed="false" customWidth="true" hidden="false" outlineLevel="0" max="16" min="15" style="0" width="19.75"/>
    <col collapsed="false" customWidth="true" hidden="false" outlineLevel="0" max="17" min="17" style="0" width="32.14"/>
    <col collapsed="false" customWidth="true" hidden="false" outlineLevel="0" max="23" min="23" style="0" width="19.38"/>
  </cols>
  <sheetData>
    <row r="1" customFormat="false" ht="15.75" hidden="false" customHeight="fals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0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6" t="s">
        <v>14</v>
      </c>
      <c r="P1" s="2" t="n">
        <v>127000000</v>
      </c>
      <c r="Q1" s="0" t="s">
        <v>15</v>
      </c>
      <c r="V1" s="7"/>
    </row>
    <row r="2" customFormat="false" ht="15.75" hidden="false" customHeight="false" outlineLevel="0" collapsed="false">
      <c r="A2" s="0" t="n">
        <v>2</v>
      </c>
      <c r="B2" s="1" t="n">
        <f aca="false">A2*10^3</f>
        <v>2000</v>
      </c>
      <c r="C2" s="2" t="n">
        <v>31</v>
      </c>
      <c r="D2" s="2" t="n">
        <v>2</v>
      </c>
      <c r="E2" s="3" t="n">
        <f aca="false">C2+0.2*D2</f>
        <v>31.4</v>
      </c>
      <c r="F2" s="4" t="n">
        <f aca="false">(E2*10^(-3))</f>
        <v>0.0314</v>
      </c>
      <c r="G2" s="4" t="n">
        <f aca="false">0.13*SIN(F2/(2*0.13))/(2*0.127)</f>
        <v>0.0616608787284979</v>
      </c>
      <c r="H2" s="7" t="n">
        <v>54</v>
      </c>
      <c r="I2" s="7" t="n">
        <v>3.1</v>
      </c>
      <c r="J2" s="0" t="n">
        <f aca="false">H2+0.2*I2</f>
        <v>54.62</v>
      </c>
      <c r="K2" s="8" t="n">
        <f aca="false">(J2*10^(-3))</f>
        <v>0.05462</v>
      </c>
      <c r="L2" s="8" t="n">
        <f aca="false">0.13*SIN(K2/(2*0.13))/(2*0.127)</f>
        <v>0.10673057956281</v>
      </c>
      <c r="M2" s="6" t="n">
        <f aca="false">2*0.213*10^(-9)*G2</f>
        <v>2.62675343383401E-011</v>
      </c>
      <c r="N2" s="6" t="n">
        <f aca="false">2*0.123*10^(-9)*L2</f>
        <v>2.62557225724512E-011</v>
      </c>
      <c r="O2" s="9" t="n">
        <f aca="false">6.626*10^(-34)/((SQRT(2*1.6*10^(-19)*9.1*10^(-31)*B2)))</f>
        <v>2.7456220146358E-011</v>
      </c>
      <c r="P2" s="0" t="n">
        <v>0.213</v>
      </c>
      <c r="S2" s="7"/>
      <c r="T2" s="7"/>
    </row>
    <row r="3" customFormat="false" ht="15.75" hidden="false" customHeight="false" outlineLevel="0" collapsed="false">
      <c r="A3" s="0" t="n">
        <v>2.5</v>
      </c>
      <c r="B3" s="1" t="n">
        <f aca="false">A3*10^3</f>
        <v>2500</v>
      </c>
      <c r="C3" s="2" t="n">
        <v>28</v>
      </c>
      <c r="D3" s="2" t="n">
        <v>4.4</v>
      </c>
      <c r="E3" s="3" t="n">
        <f aca="false">C3+0.2*D3</f>
        <v>28.88</v>
      </c>
      <c r="F3" s="4" t="n">
        <f aca="false">(E3*10^(-3))</f>
        <v>0.02888</v>
      </c>
      <c r="G3" s="4" t="n">
        <f aca="false">0.13*SIN(F3/(2*0.13))/(2*0.127)</f>
        <v>0.0567335616537594</v>
      </c>
      <c r="H3" s="2" t="n">
        <v>49</v>
      </c>
      <c r="I3" s="2" t="n">
        <v>2.4</v>
      </c>
      <c r="J3" s="0" t="n">
        <f aca="false">H3+0.2*I3</f>
        <v>49.48</v>
      </c>
      <c r="K3" s="8" t="n">
        <f aca="false">(J3*10^(-3))</f>
        <v>0.04948</v>
      </c>
      <c r="L3" s="8" t="n">
        <f aca="false">0.13*SIN(K3/(2*0.13))/(2*0.127)</f>
        <v>0.0968147061162259</v>
      </c>
      <c r="M3" s="6" t="n">
        <f aca="false">2*0.213*10^(-9)*G3</f>
        <v>2.41684972645015E-011</v>
      </c>
      <c r="N3" s="6" t="n">
        <f aca="false">2*0.123*10^(-9)*L3</f>
        <v>2.38164177045916E-011</v>
      </c>
      <c r="O3" s="9" t="n">
        <f aca="false">6.626*10^(-34)/((SQRT(2*1.6*10^(-19)*9.1*10^(-31)*B3)))</f>
        <v>2.45575898609823E-011</v>
      </c>
      <c r="P3" s="7" t="n">
        <v>0.123</v>
      </c>
      <c r="Q3" s="7"/>
      <c r="R3" s="7"/>
      <c r="S3" s="7"/>
      <c r="T3" s="7"/>
    </row>
    <row r="4" customFormat="false" ht="15.75" hidden="false" customHeight="false" outlineLevel="0" collapsed="false">
      <c r="A4" s="0" t="n">
        <v>3</v>
      </c>
      <c r="B4" s="1" t="n">
        <f aca="false">A4*10^3</f>
        <v>3000</v>
      </c>
      <c r="C4" s="2" t="n">
        <v>26</v>
      </c>
      <c r="D4" s="2" t="n">
        <v>3</v>
      </c>
      <c r="E4" s="3" t="n">
        <f aca="false">C4+0.2*D4</f>
        <v>26.6</v>
      </c>
      <c r="F4" s="4" t="n">
        <f aca="false">(E4*10^(-3))</f>
        <v>0.0266</v>
      </c>
      <c r="G4" s="4" t="n">
        <f aca="false">0.13*SIN(F4/(2*0.13))/(2*0.127)</f>
        <v>0.0522709078386748</v>
      </c>
      <c r="H4" s="2" t="n">
        <v>45</v>
      </c>
      <c r="I4" s="2" t="n">
        <v>0</v>
      </c>
      <c r="J4" s="0" t="n">
        <f aca="false">H4+0.2*I4</f>
        <v>45</v>
      </c>
      <c r="K4" s="8" t="n">
        <f aca="false">(J4*10^(-3))</f>
        <v>0.045</v>
      </c>
      <c r="L4" s="8" t="n">
        <f aca="false">0.13*SIN(K4/(2*0.13))/(2*0.127)</f>
        <v>0.0881410809105338</v>
      </c>
      <c r="M4" s="6" t="n">
        <f aca="false">2*0.213*10^(-9)*G4</f>
        <v>2.22674067392755E-011</v>
      </c>
      <c r="N4" s="6" t="n">
        <f aca="false">2*0.123*10^(-9)*L4</f>
        <v>2.16827059039913E-011</v>
      </c>
      <c r="O4" s="9" t="n">
        <f aca="false">6.626*10^(-34)/((SQRT(2*1.6*10^(-19)*9.1*10^(-31)*B4)))</f>
        <v>2.24179098747003E-011</v>
      </c>
      <c r="P4" s="7" t="s">
        <v>16</v>
      </c>
      <c r="Q4" s="7"/>
      <c r="R4" s="7"/>
      <c r="S4" s="7"/>
      <c r="T4" s="7"/>
    </row>
    <row r="5" customFormat="false" ht="15.75" hidden="false" customHeight="false" outlineLevel="0" collapsed="false">
      <c r="A5" s="0" t="n">
        <v>3.5</v>
      </c>
      <c r="B5" s="1" t="n">
        <f aca="false">A5*10^3</f>
        <v>3500</v>
      </c>
      <c r="C5" s="2" t="n">
        <v>24</v>
      </c>
      <c r="D5" s="2" t="n">
        <v>3.1</v>
      </c>
      <c r="E5" s="3" t="n">
        <f aca="false">C5+0.2*D5</f>
        <v>24.62</v>
      </c>
      <c r="F5" s="4" t="n">
        <f aca="false">(E5*10^(-3))</f>
        <v>0.02462</v>
      </c>
      <c r="G5" s="4" t="n">
        <f aca="false">0.13*SIN(F5/(2*0.13))/(2*0.127)</f>
        <v>0.0483921720617092</v>
      </c>
      <c r="H5" s="2" t="n">
        <v>42</v>
      </c>
      <c r="I5" s="2" t="n">
        <v>2</v>
      </c>
      <c r="J5" s="0" t="n">
        <f aca="false">H5+0.2*I5</f>
        <v>42.4</v>
      </c>
      <c r="K5" s="8" t="n">
        <f aca="false">(J5*10^(-3))</f>
        <v>0.0424</v>
      </c>
      <c r="L5" s="8" t="n">
        <f aca="false">0.13*SIN(K5/(2*0.13))/(2*0.127)</f>
        <v>0.0830951145992305</v>
      </c>
      <c r="M5" s="6" t="n">
        <f aca="false">2*0.213*10^(-9)*G5</f>
        <v>2.06150652982881E-011</v>
      </c>
      <c r="N5" s="6" t="n">
        <f aca="false">2*0.123*10^(-9)*L5</f>
        <v>2.04413981914107E-011</v>
      </c>
      <c r="O5" s="9" t="n">
        <f aca="false">6.626*10^(-34)/((SQRT(2*1.6*10^(-19)*9.1*10^(-31)*B5)))</f>
        <v>2.07549515568871E-011</v>
      </c>
      <c r="P5" s="7"/>
      <c r="Q5" s="7"/>
      <c r="R5" s="7"/>
      <c r="S5" s="7"/>
      <c r="T5" s="7"/>
    </row>
    <row r="6" customFormat="false" ht="15.75" hidden="false" customHeight="false" outlineLevel="0" collapsed="false">
      <c r="A6" s="0" t="n">
        <v>4</v>
      </c>
      <c r="B6" s="1" t="n">
        <f aca="false">A6*10^3</f>
        <v>4000</v>
      </c>
      <c r="C6" s="2" t="n">
        <v>22</v>
      </c>
      <c r="D6" s="2" t="n">
        <v>4</v>
      </c>
      <c r="E6" s="3" t="n">
        <f aca="false">C6+0.2*D6</f>
        <v>22.8</v>
      </c>
      <c r="F6" s="4" t="n">
        <f aca="false">(E6*10^(-3))</f>
        <v>0.0228</v>
      </c>
      <c r="G6" s="4" t="n">
        <f aca="false">0.13*SIN(F6/(2*0.13))/(2*0.127)</f>
        <v>0.0448243886977976</v>
      </c>
      <c r="H6" s="2" t="n">
        <v>39</v>
      </c>
      <c r="I6" s="2" t="n">
        <v>5.1</v>
      </c>
      <c r="J6" s="0" t="n">
        <f aca="false">H6+0.2*I6</f>
        <v>40.02</v>
      </c>
      <c r="K6" s="8" t="n">
        <f aca="false">(J6*10^(-3))</f>
        <v>0.04002</v>
      </c>
      <c r="L6" s="8" t="n">
        <f aca="false">0.13*SIN(K6/(2*0.13))/(2*0.127)</f>
        <v>0.0784688176472193</v>
      </c>
      <c r="M6" s="6" t="n">
        <f aca="false">2*0.213*10^(-9)*G6</f>
        <v>1.90951895852618E-011</v>
      </c>
      <c r="N6" s="6" t="n">
        <f aca="false">2*0.123*10^(-9)*L6</f>
        <v>1.93033291412159E-011</v>
      </c>
      <c r="O6" s="9" t="n">
        <f aca="false">6.626*10^(-34)/((SQRT(2*1.6*10^(-19)*9.1*10^(-31)*B6)))</f>
        <v>1.94144794512404E-011</v>
      </c>
      <c r="P6" s="7"/>
      <c r="Q6" s="7"/>
      <c r="R6" s="7"/>
      <c r="S6" s="7"/>
      <c r="T6" s="7"/>
    </row>
    <row r="7" customFormat="false" ht="15.75" hidden="false" customHeight="false" outlineLevel="0" collapsed="false">
      <c r="A7" s="0" t="n">
        <v>4.5</v>
      </c>
      <c r="B7" s="1" t="n">
        <f aca="false">A7*10^3</f>
        <v>4500</v>
      </c>
      <c r="C7" s="2" t="n">
        <v>21</v>
      </c>
      <c r="D7" s="2" t="n">
        <v>3.4</v>
      </c>
      <c r="E7" s="3" t="n">
        <f aca="false">C7+0.2*D7</f>
        <v>21.68</v>
      </c>
      <c r="F7" s="4" t="n">
        <f aca="false">(E7*10^(-3))</f>
        <v>0.02168</v>
      </c>
      <c r="G7" s="4" t="n">
        <f aca="false">0.13*SIN(F7/(2*0.13))/(2*0.127)</f>
        <v>0.0426277268650403</v>
      </c>
      <c r="H7" s="2" t="n">
        <v>37</v>
      </c>
      <c r="I7" s="2" t="n">
        <v>1.1</v>
      </c>
      <c r="J7" s="0" t="n">
        <f aca="false">H7+0.2*I7</f>
        <v>37.22</v>
      </c>
      <c r="K7" s="8" t="n">
        <f aca="false">(J7*10^(-3))</f>
        <v>0.03722</v>
      </c>
      <c r="L7" s="8" t="n">
        <f aca="false">0.13*SIN(K7/(2*0.13))/(2*0.127)</f>
        <v>0.0730177266505442</v>
      </c>
      <c r="M7" s="6" t="n">
        <f aca="false">2*0.213*10^(-9)*G7</f>
        <v>1.81594116445072E-011</v>
      </c>
      <c r="N7" s="6" t="n">
        <f aca="false">2*0.123*10^(-9)*L7</f>
        <v>1.79623607560339E-011</v>
      </c>
      <c r="O7" s="9" t="n">
        <f aca="false">6.626*10^(-34)/((SQRT(2*1.6*10^(-19)*9.1*10^(-31)*B7)))</f>
        <v>1.83041467642387E-011</v>
      </c>
      <c r="P7" s="7"/>
      <c r="Q7" s="7"/>
      <c r="R7" s="7"/>
      <c r="S7" s="7"/>
      <c r="T7" s="7"/>
    </row>
    <row r="8" customFormat="false" ht="15.75" hidden="false" customHeight="false" outlineLevel="0" collapsed="false">
      <c r="A8" s="0" t="n">
        <v>5</v>
      </c>
      <c r="B8" s="1" t="n">
        <f aca="false">A8*10^3</f>
        <v>5000</v>
      </c>
      <c r="C8" s="2" t="n">
        <v>20</v>
      </c>
      <c r="D8" s="2" t="n">
        <v>3</v>
      </c>
      <c r="E8" s="3" t="n">
        <f aca="false">C8+0.2*D8</f>
        <v>20.6</v>
      </c>
      <c r="F8" s="4" t="n">
        <f aca="false">(E8*10^(-3))</f>
        <v>0.0206</v>
      </c>
      <c r="G8" s="4" t="n">
        <f aca="false">0.13*SIN(F8/(2*0.13))/(2*0.127)</f>
        <v>0.0405087676439002</v>
      </c>
      <c r="H8" s="2" t="n">
        <v>35</v>
      </c>
      <c r="I8" s="2" t="n">
        <v>1.4</v>
      </c>
      <c r="J8" s="0" t="n">
        <f aca="false">H8+0.2*I8</f>
        <v>35.28</v>
      </c>
      <c r="K8" s="8" t="n">
        <f aca="false">(J8*10^(-3))</f>
        <v>0.03528</v>
      </c>
      <c r="L8" s="8" t="n">
        <f aca="false">0.13*SIN(K8/(2*0.13))/(2*0.127)</f>
        <v>0.0692358950812365</v>
      </c>
      <c r="M8" s="6" t="n">
        <f aca="false">2*0.213*10^(-9)*G8</f>
        <v>1.72567350163015E-011</v>
      </c>
      <c r="N8" s="6" t="n">
        <f aca="false">2*0.123*10^(-9)*L8</f>
        <v>1.70320301899842E-011</v>
      </c>
      <c r="O8" s="9" t="n">
        <f aca="false">6.626*10^(-34)/((SQRT(2*1.6*10^(-19)*9.1*10^(-31)*B8)))</f>
        <v>1.73648383202986E-011</v>
      </c>
      <c r="P8" s="7"/>
      <c r="Q8" s="7"/>
      <c r="R8" s="7"/>
      <c r="S8" s="7"/>
      <c r="T8" s="7"/>
    </row>
    <row r="9" customFormat="false" ht="15.75" hidden="false" customHeight="false" outlineLevel="0" collapsed="false"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customFormat="false" ht="15.75" hidden="false" customHeight="false" outlineLevel="0" collapsed="false"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customFormat="false" ht="15.75" hidden="false" customHeight="false" outlineLevel="0" collapsed="false"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customFormat="false" ht="15.75" hidden="false" customHeight="false" outlineLevel="0" collapsed="false">
      <c r="K12" s="7"/>
      <c r="L12" s="7"/>
      <c r="M12" s="7"/>
      <c r="N12" s="7"/>
      <c r="O12" s="7"/>
      <c r="P12" s="7"/>
      <c r="S12" s="7"/>
    </row>
    <row r="13" customFormat="false" ht="15.75" hidden="false" customHeight="true" outlineLevel="0" collapsed="false">
      <c r="R13" s="0" t="s">
        <v>17</v>
      </c>
      <c r="S13" s="0" t="n">
        <v>100</v>
      </c>
    </row>
    <row r="14" customFormat="false" ht="15.75" hidden="false" customHeight="true" outlineLevel="0" collapsed="false">
      <c r="R14" s="0" t="s">
        <v>18</v>
      </c>
      <c r="S14" s="0" t="n">
        <v>110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2025-09-14T01:20:58Z</dcterms:modified>
  <cp:revision>2</cp:revision>
  <dc:subject/>
  <dc:title/>
</cp:coreProperties>
</file>