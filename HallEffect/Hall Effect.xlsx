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<sst xmlns="http://schemas.openxmlformats.org/spreadsheetml/2006/main" count="19" uniqueCount="11">
  <si>
    <t>Data</t>
  </si>
  <si>
    <t>Current (A)</t>
  </si>
  <si>
    <t>Hall Voltage (mV)</t>
  </si>
  <si>
    <t>IH (AG)</t>
  </si>
  <si>
    <t>Vz (Vcm)</t>
  </si>
  <si>
    <t>IH</t>
  </si>
  <si>
    <t>Vz</t>
  </si>
  <si>
    <t>h=0.05 cm</t>
  </si>
  <si>
    <t>H=9120G</t>
  </si>
  <si>
    <t>H=3580G</t>
  </si>
  <si>
    <t>H=10180G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</si>
</sst>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14.0"/>
    <col customWidth="1" min="8" max="10" width="14.0"/>
    <col customWidth="1" min="13" max="13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0</v>
      </c>
      <c r="L1" s="1" t="s">
        <v>1</v>
      </c>
      <c r="M1" s="1" t="s">
        <v>2</v>
      </c>
      <c r="N1" s="1" t="s">
        <v>5</v>
      </c>
      <c r="O1" s="1" t="s">
        <v>6</v>
      </c>
      <c r="P1" s="1" t="s">
        <v>7</v>
      </c>
    </row>
    <row r="2">
      <c r="A2" s="2" t="s">
        <v>8</v>
      </c>
      <c r="B2" s="1">
        <v>0.0</v>
      </c>
      <c r="C2" s="1">
        <v>-0.059</v>
      </c>
      <c r="D2" s="1">
        <f t="shared" ref="D2:D17" si="1">B2*9120</f>
        <v>0</v>
      </c>
      <c r="E2" s="1">
        <f t="shared" ref="E2:E17" si="2">C2*0.05/1000</f>
        <v>-0.00000295</v>
      </c>
      <c r="F2" s="2" t="s">
        <v>9</v>
      </c>
      <c r="G2" s="1">
        <v>0.0</v>
      </c>
      <c r="H2" s="1">
        <v>-0.06</v>
      </c>
      <c r="I2" s="1">
        <f t="shared" ref="I2:I17" si="3">G2*3580</f>
        <v>0</v>
      </c>
      <c r="J2" s="1">
        <f t="shared" ref="J2:J17" si="4">H2*0.05/1000</f>
        <v>-0.000003</v>
      </c>
      <c r="K2" s="2" t="s">
        <v>10</v>
      </c>
      <c r="L2" s="1">
        <v>0.0</v>
      </c>
      <c r="M2" s="1">
        <v>-0.053</v>
      </c>
      <c r="N2" s="3">
        <f t="shared" ref="N2:N17" si="5">L2*10180</f>
        <v>0</v>
      </c>
      <c r="O2" s="3">
        <f t="shared" ref="O2:O17" si="6">M2*0.05/1000</f>
        <v>-0.00000265</v>
      </c>
    </row>
    <row r="3">
      <c r="B3" s="1">
        <v>1.0</v>
      </c>
      <c r="C3" s="1">
        <v>-0.048</v>
      </c>
      <c r="D3" s="1">
        <f t="shared" si="1"/>
        <v>9120</v>
      </c>
      <c r="E3" s="1">
        <f t="shared" si="2"/>
        <v>-0.0000024</v>
      </c>
      <c r="G3" s="1">
        <v>1.0</v>
      </c>
      <c r="H3" s="1">
        <v>-0.047</v>
      </c>
      <c r="I3" s="1">
        <f t="shared" si="3"/>
        <v>3580</v>
      </c>
      <c r="J3" s="1">
        <f t="shared" si="4"/>
        <v>-0.00000235</v>
      </c>
      <c r="L3" s="1">
        <v>1.0</v>
      </c>
      <c r="M3" s="1">
        <v>-0.042</v>
      </c>
      <c r="N3" s="3">
        <f t="shared" si="5"/>
        <v>10180</v>
      </c>
      <c r="O3" s="3">
        <f t="shared" si="6"/>
        <v>-0.0000021</v>
      </c>
    </row>
    <row r="4">
      <c r="B4" s="1">
        <v>2.0</v>
      </c>
      <c r="C4" s="1">
        <v>-0.036</v>
      </c>
      <c r="D4" s="1">
        <f t="shared" si="1"/>
        <v>18240</v>
      </c>
      <c r="E4" s="1">
        <f t="shared" si="2"/>
        <v>-0.0000018</v>
      </c>
      <c r="G4" s="1">
        <v>2.0</v>
      </c>
      <c r="H4" s="1">
        <v>-0.036</v>
      </c>
      <c r="I4" s="1">
        <f t="shared" si="3"/>
        <v>7160</v>
      </c>
      <c r="J4" s="1">
        <f t="shared" si="4"/>
        <v>-0.0000018</v>
      </c>
      <c r="L4" s="1">
        <v>2.0</v>
      </c>
      <c r="M4" s="1">
        <v>-0.033</v>
      </c>
      <c r="N4" s="3">
        <f t="shared" si="5"/>
        <v>20360</v>
      </c>
      <c r="O4" s="3">
        <f t="shared" si="6"/>
        <v>-0.00000165</v>
      </c>
    </row>
    <row r="5">
      <c r="B5" s="1">
        <v>3.0</v>
      </c>
      <c r="C5" s="1">
        <v>-0.025</v>
      </c>
      <c r="D5" s="1">
        <f t="shared" si="1"/>
        <v>27360</v>
      </c>
      <c r="E5" s="1">
        <f t="shared" si="2"/>
        <v>-0.00000125</v>
      </c>
      <c r="G5" s="1">
        <v>3.0</v>
      </c>
      <c r="H5" s="1">
        <v>-0.024</v>
      </c>
      <c r="I5" s="1">
        <f t="shared" si="3"/>
        <v>10740</v>
      </c>
      <c r="J5" s="1">
        <f t="shared" si="4"/>
        <v>-0.0000012</v>
      </c>
      <c r="L5" s="1">
        <v>3.0</v>
      </c>
      <c r="M5" s="1">
        <v>-0.023</v>
      </c>
      <c r="N5" s="3">
        <f t="shared" si="5"/>
        <v>30540</v>
      </c>
      <c r="O5" s="3">
        <f t="shared" si="6"/>
        <v>-0.00000115</v>
      </c>
    </row>
    <row r="6">
      <c r="B6" s="1">
        <v>4.0</v>
      </c>
      <c r="C6" s="1">
        <v>-0.013</v>
      </c>
      <c r="D6" s="1">
        <f t="shared" si="1"/>
        <v>36480</v>
      </c>
      <c r="E6" s="1">
        <f t="shared" si="2"/>
        <v>-0.00000065</v>
      </c>
      <c r="G6" s="1">
        <v>4.0</v>
      </c>
      <c r="H6" s="1">
        <v>-0.012</v>
      </c>
      <c r="I6" s="1">
        <f t="shared" si="3"/>
        <v>14320</v>
      </c>
      <c r="J6" s="1">
        <f t="shared" si="4"/>
        <v>-0.0000006</v>
      </c>
      <c r="L6" s="1">
        <v>4.0</v>
      </c>
      <c r="M6" s="1">
        <v>-0.012</v>
      </c>
      <c r="N6" s="3">
        <f t="shared" si="5"/>
        <v>40720</v>
      </c>
      <c r="O6" s="3">
        <f t="shared" si="6"/>
        <v>-0.0000006</v>
      </c>
    </row>
    <row r="7">
      <c r="B7" s="1">
        <v>5.0</v>
      </c>
      <c r="C7" s="1">
        <v>-0.002</v>
      </c>
      <c r="D7" s="1">
        <f t="shared" si="1"/>
        <v>45600</v>
      </c>
      <c r="E7" s="1">
        <f t="shared" si="2"/>
        <v>-0.0000001</v>
      </c>
      <c r="G7" s="1">
        <v>5.0</v>
      </c>
      <c r="H7" s="1">
        <v>-0.001</v>
      </c>
      <c r="I7" s="1">
        <f t="shared" si="3"/>
        <v>17900</v>
      </c>
      <c r="J7" s="1">
        <f t="shared" si="4"/>
        <v>-0.00000005</v>
      </c>
      <c r="L7" s="1">
        <v>5.0</v>
      </c>
      <c r="M7" s="1">
        <v>-0.001</v>
      </c>
      <c r="N7" s="3">
        <f t="shared" si="5"/>
        <v>50900</v>
      </c>
      <c r="O7" s="3">
        <f t="shared" si="6"/>
        <v>-0.00000005</v>
      </c>
    </row>
    <row r="8">
      <c r="B8" s="1">
        <v>6.0</v>
      </c>
      <c r="C8" s="1">
        <v>0.008</v>
      </c>
      <c r="D8" s="1">
        <f t="shared" si="1"/>
        <v>54720</v>
      </c>
      <c r="E8" s="1">
        <f t="shared" si="2"/>
        <v>0.0000004</v>
      </c>
      <c r="G8" s="1">
        <v>6.0</v>
      </c>
      <c r="H8" s="1">
        <v>0.008</v>
      </c>
      <c r="I8" s="1">
        <f t="shared" si="3"/>
        <v>21480</v>
      </c>
      <c r="J8" s="1">
        <f t="shared" si="4"/>
        <v>0.0000004</v>
      </c>
      <c r="L8" s="1">
        <v>6.0</v>
      </c>
      <c r="M8" s="1">
        <v>0.008</v>
      </c>
      <c r="N8" s="3">
        <f t="shared" si="5"/>
        <v>61080</v>
      </c>
      <c r="O8" s="3">
        <f t="shared" si="6"/>
        <v>0.0000004</v>
      </c>
    </row>
    <row r="9">
      <c r="B9" s="1">
        <v>7.0</v>
      </c>
      <c r="C9" s="1">
        <v>0.019</v>
      </c>
      <c r="D9" s="1">
        <f t="shared" si="1"/>
        <v>63840</v>
      </c>
      <c r="E9" s="1">
        <f t="shared" si="2"/>
        <v>0.00000095</v>
      </c>
      <c r="G9" s="1">
        <v>7.0</v>
      </c>
      <c r="H9" s="1">
        <v>0.021</v>
      </c>
      <c r="I9" s="1">
        <f t="shared" si="3"/>
        <v>25060</v>
      </c>
      <c r="J9" s="1">
        <f t="shared" si="4"/>
        <v>0.00000105</v>
      </c>
      <c r="L9" s="1">
        <v>7.0</v>
      </c>
      <c r="M9" s="1">
        <v>0.019</v>
      </c>
      <c r="N9" s="3">
        <f t="shared" si="5"/>
        <v>71260</v>
      </c>
      <c r="O9" s="3">
        <f t="shared" si="6"/>
        <v>0.00000095</v>
      </c>
    </row>
    <row r="10">
      <c r="B10" s="1">
        <v>8.0</v>
      </c>
      <c r="C10" s="1">
        <v>0.03</v>
      </c>
      <c r="D10" s="1">
        <f t="shared" si="1"/>
        <v>72960</v>
      </c>
      <c r="E10" s="1">
        <f t="shared" si="2"/>
        <v>0.0000015</v>
      </c>
      <c r="G10" s="1">
        <v>8.0</v>
      </c>
      <c r="H10" s="1">
        <v>0.032</v>
      </c>
      <c r="I10" s="1">
        <f t="shared" si="3"/>
        <v>28640</v>
      </c>
      <c r="J10" s="1">
        <f t="shared" si="4"/>
        <v>0.0000016</v>
      </c>
      <c r="L10" s="1">
        <v>8.0</v>
      </c>
      <c r="M10" s="1">
        <v>0.03</v>
      </c>
      <c r="N10" s="3">
        <f t="shared" si="5"/>
        <v>81440</v>
      </c>
      <c r="O10" s="3">
        <f t="shared" si="6"/>
        <v>0.0000015</v>
      </c>
    </row>
    <row r="11">
      <c r="B11" s="1">
        <v>9.0</v>
      </c>
      <c r="C11" s="1">
        <v>0.042</v>
      </c>
      <c r="D11" s="1">
        <f t="shared" si="1"/>
        <v>82080</v>
      </c>
      <c r="E11" s="1">
        <f t="shared" si="2"/>
        <v>0.0000021</v>
      </c>
      <c r="G11" s="1">
        <v>9.0</v>
      </c>
      <c r="H11" s="1">
        <v>0.044</v>
      </c>
      <c r="I11" s="1">
        <f t="shared" si="3"/>
        <v>32220</v>
      </c>
      <c r="J11" s="1">
        <f t="shared" si="4"/>
        <v>0.0000022</v>
      </c>
      <c r="L11" s="1">
        <v>9.0</v>
      </c>
      <c r="M11" s="1">
        <v>0.041</v>
      </c>
      <c r="N11" s="3">
        <f t="shared" si="5"/>
        <v>91620</v>
      </c>
      <c r="O11" s="3">
        <f t="shared" si="6"/>
        <v>0.00000205</v>
      </c>
    </row>
    <row r="12">
      <c r="B12" s="1">
        <v>10.0</v>
      </c>
      <c r="C12" s="1">
        <v>0.054</v>
      </c>
      <c r="D12" s="1">
        <f t="shared" si="1"/>
        <v>91200</v>
      </c>
      <c r="E12" s="1">
        <f t="shared" si="2"/>
        <v>0.0000027</v>
      </c>
      <c r="G12" s="1">
        <v>10.0</v>
      </c>
      <c r="H12" s="1">
        <v>0.055</v>
      </c>
      <c r="I12" s="1">
        <f t="shared" si="3"/>
        <v>35800</v>
      </c>
      <c r="J12" s="1">
        <f t="shared" si="4"/>
        <v>0.00000275</v>
      </c>
      <c r="L12" s="1">
        <v>10.0</v>
      </c>
      <c r="M12" s="1">
        <v>0.052</v>
      </c>
      <c r="N12" s="3">
        <f t="shared" si="5"/>
        <v>101800</v>
      </c>
      <c r="O12" s="3">
        <f t="shared" si="6"/>
        <v>0.0000026</v>
      </c>
    </row>
    <row r="13">
      <c r="B13" s="1">
        <v>11.0</v>
      </c>
      <c r="C13" s="1">
        <v>0.065</v>
      </c>
      <c r="D13" s="1">
        <f t="shared" si="1"/>
        <v>100320</v>
      </c>
      <c r="E13" s="1">
        <f t="shared" si="2"/>
        <v>0.00000325</v>
      </c>
      <c r="G13" s="1">
        <v>11.0</v>
      </c>
      <c r="H13" s="1">
        <v>0.067</v>
      </c>
      <c r="I13" s="1">
        <f t="shared" si="3"/>
        <v>39380</v>
      </c>
      <c r="J13" s="1">
        <f t="shared" si="4"/>
        <v>0.00000335</v>
      </c>
      <c r="L13" s="1">
        <v>11.0</v>
      </c>
      <c r="M13" s="1">
        <v>0.064</v>
      </c>
      <c r="N13" s="3">
        <f t="shared" si="5"/>
        <v>111980</v>
      </c>
      <c r="O13" s="3">
        <f t="shared" si="6"/>
        <v>0.0000032</v>
      </c>
    </row>
    <row r="14">
      <c r="B14" s="1">
        <v>12.0</v>
      </c>
      <c r="C14" s="1">
        <v>0.077</v>
      </c>
      <c r="D14" s="1">
        <f t="shared" si="1"/>
        <v>109440</v>
      </c>
      <c r="E14" s="1">
        <f t="shared" si="2"/>
        <v>0.00000385</v>
      </c>
      <c r="G14" s="1">
        <v>12.0</v>
      </c>
      <c r="H14" s="1">
        <v>0.079</v>
      </c>
      <c r="I14" s="1">
        <f t="shared" si="3"/>
        <v>42960</v>
      </c>
      <c r="J14" s="1">
        <f t="shared" si="4"/>
        <v>0.00000395</v>
      </c>
      <c r="L14" s="1">
        <v>12.0</v>
      </c>
      <c r="M14" s="1">
        <v>0.075</v>
      </c>
      <c r="N14" s="3">
        <f t="shared" si="5"/>
        <v>122160</v>
      </c>
      <c r="O14" s="3">
        <f t="shared" si="6"/>
        <v>0.00000375</v>
      </c>
    </row>
    <row r="15">
      <c r="B15" s="1">
        <v>13.0</v>
      </c>
      <c r="C15" s="1">
        <v>0.088</v>
      </c>
      <c r="D15" s="1">
        <f t="shared" si="1"/>
        <v>118560</v>
      </c>
      <c r="E15" s="1">
        <f t="shared" si="2"/>
        <v>0.0000044</v>
      </c>
      <c r="G15" s="1">
        <v>13.0</v>
      </c>
      <c r="H15" s="1">
        <v>0.091</v>
      </c>
      <c r="I15" s="1">
        <f t="shared" si="3"/>
        <v>46540</v>
      </c>
      <c r="J15" s="1">
        <f t="shared" si="4"/>
        <v>0.00000455</v>
      </c>
      <c r="L15" s="1">
        <v>13.0</v>
      </c>
      <c r="M15" s="1">
        <v>0.087</v>
      </c>
      <c r="N15" s="3">
        <f t="shared" si="5"/>
        <v>132340</v>
      </c>
      <c r="O15" s="3">
        <f t="shared" si="6"/>
        <v>0.00000435</v>
      </c>
    </row>
    <row r="16">
      <c r="B16" s="1">
        <v>14.0</v>
      </c>
      <c r="C16" s="1">
        <v>0.1</v>
      </c>
      <c r="D16" s="1">
        <f t="shared" si="1"/>
        <v>127680</v>
      </c>
      <c r="E16" s="1">
        <f t="shared" si="2"/>
        <v>0.000005</v>
      </c>
      <c r="G16" s="1">
        <v>14.0</v>
      </c>
      <c r="H16" s="1">
        <v>0.103</v>
      </c>
      <c r="I16" s="1">
        <f t="shared" si="3"/>
        <v>50120</v>
      </c>
      <c r="J16" s="1">
        <f t="shared" si="4"/>
        <v>0.00000515</v>
      </c>
      <c r="L16" s="1">
        <v>14.0</v>
      </c>
      <c r="M16" s="1">
        <v>0.098</v>
      </c>
      <c r="N16" s="3">
        <f t="shared" si="5"/>
        <v>142520</v>
      </c>
      <c r="O16" s="3">
        <f t="shared" si="6"/>
        <v>0.0000049</v>
      </c>
    </row>
    <row r="17">
      <c r="B17" s="1">
        <v>15.0</v>
      </c>
      <c r="C17" s="1">
        <v>0.112</v>
      </c>
      <c r="D17" s="1">
        <f t="shared" si="1"/>
        <v>136800</v>
      </c>
      <c r="E17" s="1">
        <f t="shared" si="2"/>
        <v>0.0000056</v>
      </c>
      <c r="G17" s="1">
        <v>15.0</v>
      </c>
      <c r="H17" s="1">
        <v>0.115</v>
      </c>
      <c r="I17" s="1">
        <f t="shared" si="3"/>
        <v>53700</v>
      </c>
      <c r="J17" s="1">
        <f t="shared" si="4"/>
        <v>0.00000575</v>
      </c>
      <c r="L17" s="1">
        <v>15.0</v>
      </c>
      <c r="M17" s="1">
        <v>0.109</v>
      </c>
      <c r="N17" s="3">
        <f t="shared" si="5"/>
        <v>152700</v>
      </c>
      <c r="O17" s="3">
        <f t="shared" si="6"/>
        <v>0.00000545</v>
      </c>
    </row>
  </sheetData>
  <mergeCells count="3">
    <mergeCell ref="A2:A17"/>
    <mergeCell ref="F2:F17"/>
    <mergeCell ref="K2:K17"/>
  </mergeCells>
  <drawing r:id="rId1"/>
</worksheet>
</file>