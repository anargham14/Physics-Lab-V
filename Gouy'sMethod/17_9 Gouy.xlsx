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<sst xmlns="http://schemas.openxmlformats.org/spreadsheetml/2006/main" count="17" uniqueCount="15">
  <si>
    <t xml:space="preserve">Calibration</t>
  </si>
  <si>
    <t xml:space="preserve">B (*10 G)</t>
  </si>
  <si>
    <t xml:space="preserve">I (A)</t>
  </si>
  <si>
    <t xml:space="preserve">Avg B (*10 G)</t>
  </si>
  <si>
    <t xml:space="preserve">Avg B (in G)</t>
  </si>
  <si>
    <t xml:space="preserve">H^2 (in G^2)</t>
  </si>
  <si>
    <t xml:space="preserve">H^2 (in T^2)</t>
  </si>
  <si>
    <t xml:space="preserve">Tube+field (m2)</t>
  </si>
  <si>
    <t xml:space="preserve">MgSO4+tube+field (LC=0.1mg) (m4)</t>
  </si>
  <si>
    <t xml:space="preserve">delta_m (in g)</t>
  </si>
  <si>
    <t xml:space="preserve">Tube (m1)</t>
  </si>
  <si>
    <t xml:space="preserve">Tube+MgSO4 (m3)</t>
  </si>
  <si>
    <t xml:space="preserve">A=</t>
  </si>
  <si>
    <t xml:space="preserve">mm^2</t>
  </si>
  <si>
    <t xml:space="preserve">`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</si>
</sst>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J13" activeCellId="0" sqref="J13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17.52"/>
    <col collapsed="false" customWidth="true" hidden="false" outlineLevel="0" max="9" min="9" style="0" width="15.76"/>
    <col collapsed="false" customWidth="true" hidden="false" outlineLevel="0" max="10" min="10" style="0" width="34.68"/>
    <col collapsed="false" customWidth="true" hidden="false" outlineLevel="0" max="11" min="11" style="0" width="24.47"/>
    <col collapsed="false" customWidth="true" hidden="false" outlineLevel="0" max="12" min="12" style="0" width="27.13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2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n">
        <v>13.4844</v>
      </c>
    </row>
    <row r="3" customFormat="false" ht="15.75" hidden="false" customHeight="false" outlineLevel="0" collapsed="false">
      <c r="A3" s="2" t="n">
        <v>12</v>
      </c>
      <c r="B3" s="2" t="n">
        <v>0</v>
      </c>
      <c r="C3" s="2" t="n">
        <v>12</v>
      </c>
      <c r="D3" s="3" t="n">
        <f aca="false">AVERAGE(A3,C3)</f>
        <v>12</v>
      </c>
      <c r="E3" s="3" t="n">
        <f aca="false">D3*10</f>
        <v>120</v>
      </c>
      <c r="F3" s="2" t="n">
        <v>0</v>
      </c>
      <c r="G3" s="2" t="n">
        <f aca="false">E3^2/100</f>
        <v>144</v>
      </c>
      <c r="H3" s="2" t="n">
        <f aca="false">G3*10^(-8)</f>
        <v>1.44E-006</v>
      </c>
      <c r="I3" s="2" t="n">
        <v>13.4844</v>
      </c>
      <c r="J3" s="2" t="n">
        <v>15.1059</v>
      </c>
      <c r="K3" s="3" t="n">
        <f aca="false">J3-15.1059+I3-13.4844</f>
        <v>0</v>
      </c>
      <c r="L3" s="2" t="s">
        <v>11</v>
      </c>
      <c r="M3" s="2" t="n">
        <v>15.1059</v>
      </c>
    </row>
    <row r="4" customFormat="false" ht="15.75" hidden="false" customHeight="false" outlineLevel="0" collapsed="false">
      <c r="A4" s="2" t="n">
        <v>256</v>
      </c>
      <c r="B4" s="2" t="n">
        <v>0.5</v>
      </c>
      <c r="C4" s="2" t="n">
        <v>280</v>
      </c>
      <c r="D4" s="3" t="n">
        <f aca="false">AVERAGE(A4,C4)</f>
        <v>268</v>
      </c>
      <c r="E4" s="3" t="n">
        <f aca="false">D4*10</f>
        <v>2680</v>
      </c>
      <c r="F4" s="2" t="n">
        <v>0.5</v>
      </c>
      <c r="G4" s="2" t="n">
        <f aca="false">E4^2/100</f>
        <v>71824</v>
      </c>
      <c r="H4" s="2" t="n">
        <f aca="false">G4*10^(-8)</f>
        <v>0.00071824</v>
      </c>
      <c r="I4" s="2" t="n">
        <v>13.4853</v>
      </c>
      <c r="J4" s="2" t="n">
        <v>15.1067</v>
      </c>
      <c r="K4" s="3" t="n">
        <f aca="false">J4-15.1059+I4-13.4844</f>
        <v>0.00169999999999959</v>
      </c>
      <c r="L4" s="2" t="s">
        <v>12</v>
      </c>
      <c r="M4" s="2" t="n">
        <f aca="false">PI()*(9)</f>
        <v>28.27433388</v>
      </c>
      <c r="N4" s="2" t="s">
        <v>13</v>
      </c>
    </row>
    <row r="5" customFormat="false" ht="15.75" hidden="false" customHeight="false" outlineLevel="0" collapsed="false">
      <c r="A5" s="2" t="n">
        <v>388</v>
      </c>
      <c r="B5" s="2" t="n">
        <v>0.75</v>
      </c>
      <c r="C5" s="2" t="n">
        <v>418</v>
      </c>
      <c r="D5" s="3" t="n">
        <f aca="false">AVERAGE(A5,C5)</f>
        <v>403</v>
      </c>
      <c r="E5" s="3" t="n">
        <f aca="false">D5*10</f>
        <v>4030</v>
      </c>
      <c r="F5" s="2" t="n">
        <v>0.75</v>
      </c>
      <c r="G5" s="2" t="n">
        <f aca="false">E5^2/100</f>
        <v>162409</v>
      </c>
      <c r="H5" s="2" t="n">
        <f aca="false">G5*10^(-8)</f>
        <v>0.00162409</v>
      </c>
      <c r="I5" s="2" t="n">
        <v>13.4859</v>
      </c>
      <c r="J5" s="2" t="n">
        <v>15.1076</v>
      </c>
      <c r="K5" s="3" t="n">
        <f aca="false">J5-15.1059+I5-13.4844</f>
        <v>0.00319999999999965</v>
      </c>
    </row>
    <row r="6" customFormat="false" ht="15.75" hidden="false" customHeight="false" outlineLevel="0" collapsed="false">
      <c r="A6" s="2" t="n">
        <v>524</v>
      </c>
      <c r="B6" s="2" t="n">
        <v>1</v>
      </c>
      <c r="C6" s="2" t="n">
        <v>554</v>
      </c>
      <c r="D6" s="3" t="n">
        <f aca="false">AVERAGE(A6,C6)</f>
        <v>539</v>
      </c>
      <c r="E6" s="3" t="n">
        <f aca="false">D6*10</f>
        <v>5390</v>
      </c>
      <c r="F6" s="2" t="n">
        <v>1</v>
      </c>
      <c r="G6" s="2" t="n">
        <f aca="false">E6^2/100</f>
        <v>290521</v>
      </c>
      <c r="H6" s="2" t="n">
        <f aca="false">G6*10^(-8)</f>
        <v>0.00290521</v>
      </c>
      <c r="I6" s="2" t="n">
        <v>13.4871</v>
      </c>
      <c r="J6" s="2" t="n">
        <v>15.1087</v>
      </c>
      <c r="K6" s="3" t="n">
        <f aca="false">J6-15.1059+I6-13.4844</f>
        <v>0.00549999999999962</v>
      </c>
    </row>
    <row r="7" customFormat="false" ht="15.75" hidden="false" customHeight="false" outlineLevel="0" collapsed="false">
      <c r="A7" s="2" t="n">
        <v>657</v>
      </c>
      <c r="B7" s="2" t="n">
        <v>1.25</v>
      </c>
      <c r="C7" s="2" t="n">
        <v>682</v>
      </c>
      <c r="D7" s="3" t="n">
        <f aca="false">AVERAGE(A7,C7)</f>
        <v>669.5</v>
      </c>
      <c r="E7" s="3" t="n">
        <f aca="false">D7*10</f>
        <v>6695</v>
      </c>
      <c r="F7" s="2" t="n">
        <v>1.25</v>
      </c>
      <c r="G7" s="2" t="n">
        <f aca="false">E7^2/100</f>
        <v>448230.25</v>
      </c>
      <c r="H7" s="2" t="n">
        <f aca="false">G7*10^(-8)</f>
        <v>0.0044823025</v>
      </c>
      <c r="I7" s="2" t="n">
        <v>13.4886</v>
      </c>
      <c r="J7" s="2" t="n">
        <v>15.1098</v>
      </c>
      <c r="K7" s="3" t="n">
        <f aca="false">J7-15.1059+I7-13.4844</f>
        <v>0.00809999999999889</v>
      </c>
    </row>
    <row r="8" customFormat="false" ht="15.75" hidden="false" customHeight="false" outlineLevel="0" collapsed="false">
      <c r="A8" s="2" t="n">
        <v>788</v>
      </c>
      <c r="B8" s="2" t="n">
        <v>1.5</v>
      </c>
      <c r="C8" s="2" t="n">
        <v>817</v>
      </c>
      <c r="D8" s="3" t="n">
        <f aca="false">AVERAGE(A8,C8)</f>
        <v>802.5</v>
      </c>
      <c r="E8" s="3" t="n">
        <f aca="false">D8*10</f>
        <v>8025</v>
      </c>
      <c r="F8" s="2" t="n">
        <v>1.5</v>
      </c>
      <c r="G8" s="2" t="n">
        <f aca="false">E8^2/100</f>
        <v>644006.25</v>
      </c>
      <c r="H8" s="2" t="n">
        <f aca="false">G8*10^(-8)</f>
        <v>0.0064400625</v>
      </c>
      <c r="I8" s="2" t="n">
        <v>13.4901</v>
      </c>
      <c r="J8" s="2" t="n">
        <v>15.1114</v>
      </c>
      <c r="K8" s="3" t="n">
        <f aca="false">J8-15.1059+I8-13.4844</f>
        <v>0.0111999999999988</v>
      </c>
    </row>
    <row r="9" customFormat="false" ht="15.75" hidden="false" customHeight="false" outlineLevel="0" collapsed="false">
      <c r="A9" s="2" t="n">
        <v>921</v>
      </c>
      <c r="B9" s="2" t="n">
        <v>1.75</v>
      </c>
      <c r="C9" s="2" t="n">
        <v>947</v>
      </c>
      <c r="D9" s="3" t="n">
        <f aca="false">AVERAGE(A9,C9)</f>
        <v>934</v>
      </c>
      <c r="E9" s="3" t="n">
        <f aca="false">D9*10</f>
        <v>9340</v>
      </c>
      <c r="F9" s="2" t="n">
        <v>1.75</v>
      </c>
      <c r="G9" s="2" t="n">
        <f aca="false">E9^2/100</f>
        <v>872356</v>
      </c>
      <c r="H9" s="2" t="n">
        <f aca="false">G9*10^(-8)</f>
        <v>0.00872356</v>
      </c>
      <c r="I9" s="2" t="n">
        <v>13.4917</v>
      </c>
      <c r="J9" s="2" t="n">
        <v>15.1133</v>
      </c>
      <c r="K9" s="3" t="n">
        <f aca="false">J9-15.1059+I9-13.4844</f>
        <v>0.0146999999999995</v>
      </c>
    </row>
    <row r="10" customFormat="false" ht="15.75" hidden="false" customHeight="false" outlineLevel="0" collapsed="false">
      <c r="A10" s="2" t="n">
        <v>1048</v>
      </c>
      <c r="B10" s="2" t="n">
        <v>2</v>
      </c>
      <c r="C10" s="2" t="n">
        <v>1077</v>
      </c>
      <c r="D10" s="3" t="n">
        <f aca="false">AVERAGE(A10,C10)</f>
        <v>1062.5</v>
      </c>
      <c r="E10" s="3" t="n">
        <f aca="false">D10*10</f>
        <v>10625</v>
      </c>
      <c r="F10" s="2" t="n">
        <v>2</v>
      </c>
      <c r="G10" s="2" t="n">
        <f aca="false">E10^2/100</f>
        <v>1128906.25</v>
      </c>
      <c r="H10" s="2" t="n">
        <f aca="false">G10*10^(-8)</f>
        <v>0.0112890625</v>
      </c>
      <c r="I10" s="2" t="n">
        <v>13.4933</v>
      </c>
      <c r="J10" s="2" t="n">
        <v>15.1149</v>
      </c>
      <c r="K10" s="3" t="n">
        <f aca="false">J10-15.1059+I10-13.4844</f>
        <v>0.0178999999999991</v>
      </c>
    </row>
    <row r="11" customFormat="false" ht="15.75" hidden="false" customHeight="false" outlineLevel="0" collapsed="false">
      <c r="A11" s="2" t="n">
        <v>1167</v>
      </c>
      <c r="B11" s="2" t="n">
        <v>2.25</v>
      </c>
      <c r="C11" s="2" t="n">
        <v>1192</v>
      </c>
      <c r="D11" s="3" t="n">
        <f aca="false">AVERAGE(A11,C11)</f>
        <v>1179.5</v>
      </c>
      <c r="E11" s="3" t="n">
        <f aca="false">D11*10</f>
        <v>11795</v>
      </c>
      <c r="F11" s="2" t="n">
        <v>2.25</v>
      </c>
      <c r="G11" s="2" t="n">
        <f aca="false">E11^2/100</f>
        <v>1391220.25</v>
      </c>
      <c r="H11" s="2" t="n">
        <f aca="false">G11*10^(-8)</f>
        <v>0.0139122025</v>
      </c>
      <c r="I11" s="2" t="n">
        <v>13.4953</v>
      </c>
      <c r="J11" s="2" t="n">
        <v>15.1168</v>
      </c>
      <c r="K11" s="3" t="n">
        <f aca="false">J11-15.1059+I11-13.4844</f>
        <v>0.0217999999999989</v>
      </c>
    </row>
    <row r="12" customFormat="false" ht="15.75" hidden="false" customHeight="false" outlineLevel="0" collapsed="false">
      <c r="A12" s="2" t="n">
        <v>1283</v>
      </c>
      <c r="B12" s="2" t="n">
        <v>2.5</v>
      </c>
      <c r="C12" s="2" t="n">
        <v>1302</v>
      </c>
      <c r="D12" s="3" t="n">
        <f aca="false">AVERAGE(A12,C12)</f>
        <v>1292.5</v>
      </c>
      <c r="E12" s="3" t="n">
        <f aca="false">D12*10</f>
        <v>12925</v>
      </c>
      <c r="F12" s="2" t="n">
        <v>2.5</v>
      </c>
      <c r="G12" s="2" t="n">
        <f aca="false">E12^2/100</f>
        <v>1670556.25</v>
      </c>
      <c r="H12" s="2" t="n">
        <f aca="false">G12*10^(-8)</f>
        <v>0.0167055625</v>
      </c>
      <c r="I12" s="2" t="n">
        <v>13.4972</v>
      </c>
      <c r="J12" s="2" t="n">
        <v>15.1186</v>
      </c>
      <c r="K12" s="3" t="n">
        <f aca="false">J12-15.1059+I12-13.4844</f>
        <v>0.0254999999999992</v>
      </c>
    </row>
    <row r="13" customFormat="false" ht="15.75" hidden="false" customHeight="false" outlineLevel="0" collapsed="false">
      <c r="A13" s="2" t="n">
        <v>1385</v>
      </c>
      <c r="B13" s="2" t="n">
        <v>2.75</v>
      </c>
      <c r="C13" s="2" t="n">
        <v>1385</v>
      </c>
      <c r="D13" s="3" t="n">
        <f aca="false">AVERAGE(A13,C13)</f>
        <v>1385</v>
      </c>
      <c r="E13" s="3" t="n">
        <f aca="false">D13*10</f>
        <v>13850</v>
      </c>
      <c r="F13" s="2" t="n">
        <v>2.75</v>
      </c>
      <c r="G13" s="2" t="n">
        <f aca="false">E13^2/100</f>
        <v>1918225</v>
      </c>
      <c r="H13" s="2" t="n">
        <f aca="false">G13*10^(-8)</f>
        <v>0.01918225</v>
      </c>
      <c r="I13" s="2" t="n">
        <v>13.4985</v>
      </c>
      <c r="J13" s="2" t="n">
        <v>15.1203</v>
      </c>
      <c r="K13" s="3" t="n">
        <f aca="false">J13-15.1059+I13-13.4844</f>
        <v>0.0284999999999993</v>
      </c>
    </row>
    <row r="14" customFormat="false" ht="15.75" hidden="false" customHeight="false" outlineLevel="0" collapsed="false">
      <c r="M14" s="2" t="s">
        <v>14</v>
      </c>
    </row>
    <row r="1048576" customFormat="false" ht="12.8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2025-11-11T17:41:16Z</dcterms:modified>
  <cp:revision>3</cp:revision>
  <dc:subject/>
  <dc:title/>
</cp:coreProperties>
</file>