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<sst xmlns="http://schemas.openxmlformats.org/spreadsheetml/2006/main" count="18" uniqueCount="10">
  <si>
    <t xml:space="preserve">Ref angle=146</t>
  </si>
  <si>
    <t xml:space="preserve">LC=0.2 deg</t>
  </si>
  <si>
    <t xml:space="preserve">Ref angle=147.4</t>
  </si>
  <si>
    <t xml:space="preserve">I (in A)</t>
  </si>
  <si>
    <t xml:space="preserve">MSR</t>
  </si>
  <si>
    <t xml:space="preserve">VSR</t>
  </si>
  <si>
    <t xml:space="preserve">theta</t>
  </si>
  <si>
    <t xml:space="preserve">theta-ref angle</t>
  </si>
  <si>
    <t xml:space="preserve">theta (in rads)</t>
  </si>
  <si>
    <t xml:space="preserve">theta/I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</si>
</sst>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9900"/>
        <bgColor rgb="FFFFCC00"/>
      </patternFill>
    </fill>
    <fill>
      <patternFill patternType="solid">
        <fgColor rgb="FF6AA84F"/>
        <bgColor rgb="FF969696"/>
      </patternFill>
    </fill>
    <fill>
      <patternFill patternType="solid">
        <fgColor rgb="FF00FF00"/>
        <bgColor rgb="FF33CC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6AA84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12.6328125" defaultRowHeight="15.75" zeroHeight="false" outlineLevelRow="0" outlineLevelCol="0"/>
  <cols>
    <col collapsed="false" customWidth="true" hidden="false" outlineLevel="0" max="5" min="5" style="1" width="23.09"/>
    <col collapsed="false" customWidth="true" hidden="false" outlineLevel="0" max="6" min="6" style="1" width="29.91"/>
    <col collapsed="false" customWidth="true" hidden="false" outlineLevel="0" max="13" min="13" style="1" width="27.82"/>
    <col collapsed="false" customWidth="true" hidden="false" outlineLevel="0" max="14" min="14" style="1" width="27.68"/>
  </cols>
  <sheetData>
    <row r="1" customFormat="false" ht="15.75" hidden="false" customHeight="false" outlineLevel="0" collapsed="false">
      <c r="A1" s="2" t="s">
        <v>0</v>
      </c>
      <c r="B1" s="3"/>
      <c r="C1" s="3" t="s">
        <v>1</v>
      </c>
      <c r="D1" s="3"/>
      <c r="E1" s="3"/>
      <c r="F1" s="3"/>
      <c r="G1" s="3"/>
      <c r="H1" s="4"/>
      <c r="I1" s="5" t="s">
        <v>2</v>
      </c>
      <c r="J1" s="6"/>
      <c r="K1" s="6" t="s">
        <v>1</v>
      </c>
      <c r="L1" s="6"/>
      <c r="M1" s="6"/>
      <c r="N1" s="6"/>
      <c r="O1" s="6"/>
    </row>
    <row r="2" customFormat="false" ht="15.75" hidden="false" customHeight="false" outlineLevel="0" collapsed="false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4"/>
      <c r="I2" s="6" t="s">
        <v>3</v>
      </c>
      <c r="J2" s="6" t="s">
        <v>4</v>
      </c>
      <c r="K2" s="6" t="s">
        <v>5</v>
      </c>
      <c r="L2" s="6" t="s">
        <v>6</v>
      </c>
      <c r="M2" s="6" t="s">
        <v>7</v>
      </c>
      <c r="N2" s="6" t="s">
        <v>8</v>
      </c>
      <c r="O2" s="6" t="s">
        <v>9</v>
      </c>
    </row>
    <row r="3" customFormat="false" ht="15.75" hidden="false" customHeight="false" outlineLevel="0" collapsed="false">
      <c r="A3" s="3" t="n">
        <v>0</v>
      </c>
      <c r="B3" s="3" t="n">
        <v>146</v>
      </c>
      <c r="C3" s="3" t="n">
        <v>0</v>
      </c>
      <c r="D3" s="3" t="n">
        <v>146</v>
      </c>
      <c r="E3" s="3" t="n">
        <v>0</v>
      </c>
      <c r="F3" s="3" t="n">
        <v>0</v>
      </c>
      <c r="G3" s="3"/>
      <c r="H3" s="4"/>
      <c r="I3" s="6"/>
      <c r="J3" s="6"/>
      <c r="K3" s="6"/>
      <c r="L3" s="6"/>
      <c r="M3" s="6"/>
      <c r="N3" s="6"/>
      <c r="O3" s="6"/>
    </row>
    <row r="4" customFormat="false" ht="15.75" hidden="false" customHeight="false" outlineLevel="0" collapsed="false">
      <c r="A4" s="3" t="n">
        <v>1.4</v>
      </c>
      <c r="B4" s="3" t="n">
        <v>148</v>
      </c>
      <c r="C4" s="3" t="n">
        <v>2</v>
      </c>
      <c r="D4" s="3" t="n">
        <f aca="false">B4+0.2*C4</f>
        <v>148.4</v>
      </c>
      <c r="E4" s="3" t="n">
        <f aca="false">D4-146</f>
        <v>2.40000000000001</v>
      </c>
      <c r="F4" s="3" t="n">
        <f aca="false">E4*PI()/180</f>
        <v>0.0418879020478641</v>
      </c>
      <c r="G4" s="3" t="n">
        <f aca="false">E4/A4</f>
        <v>1.71428571428572</v>
      </c>
      <c r="H4" s="4"/>
      <c r="I4" s="5" t="n">
        <v>0</v>
      </c>
      <c r="J4" s="5" t="n">
        <v>146</v>
      </c>
      <c r="K4" s="5" t="n">
        <v>7</v>
      </c>
      <c r="L4" s="5" t="n">
        <f aca="false">J4+0.2*K4</f>
        <v>147.4</v>
      </c>
      <c r="M4" s="5" t="n">
        <v>0</v>
      </c>
      <c r="N4" s="5" t="n">
        <f aca="false">M4*PI()/180</f>
        <v>0</v>
      </c>
      <c r="O4" s="6"/>
    </row>
    <row r="5" customFormat="false" ht="15.75" hidden="false" customHeight="false" outlineLevel="0" collapsed="false">
      <c r="A5" s="3" t="n">
        <v>2.2</v>
      </c>
      <c r="B5" s="3" t="n">
        <v>150</v>
      </c>
      <c r="C5" s="3" t="n">
        <v>1</v>
      </c>
      <c r="D5" s="3" t="n">
        <f aca="false">B5+0.2*C5</f>
        <v>150.2</v>
      </c>
      <c r="E5" s="3" t="n">
        <f aca="false">D5-146</f>
        <v>4.19999999999999</v>
      </c>
      <c r="F5" s="3" t="n">
        <f aca="false">E5*PI()/180</f>
        <v>0.0733038285837616</v>
      </c>
      <c r="G5" s="3" t="n">
        <f aca="false">E5/A5</f>
        <v>1.9090909090909</v>
      </c>
      <c r="H5" s="4"/>
      <c r="I5" s="6" t="n">
        <v>0.8</v>
      </c>
      <c r="J5" s="6" t="n">
        <v>150</v>
      </c>
      <c r="K5" s="6" t="n">
        <v>1</v>
      </c>
      <c r="L5" s="6" t="n">
        <f aca="false">J5+0.2*K5</f>
        <v>150.2</v>
      </c>
      <c r="M5" s="6" t="n">
        <f aca="false">L5-147.4</f>
        <v>2.79999999999998</v>
      </c>
      <c r="N5" s="5" t="n">
        <f aca="false">M5*PI()/180</f>
        <v>0.0488692190558409</v>
      </c>
      <c r="O5" s="6" t="n">
        <f aca="false">N5/I5</f>
        <v>0.0610865238198012</v>
      </c>
    </row>
    <row r="6" customFormat="false" ht="15.75" hidden="false" customHeight="false" outlineLevel="0" collapsed="false">
      <c r="A6" s="3" t="n">
        <v>3</v>
      </c>
      <c r="B6" s="3" t="n">
        <v>152</v>
      </c>
      <c r="C6" s="3" t="n">
        <v>0</v>
      </c>
      <c r="D6" s="3" t="n">
        <f aca="false">B6+0.2*C6</f>
        <v>152</v>
      </c>
      <c r="E6" s="3" t="n">
        <f aca="false">D6-146</f>
        <v>6</v>
      </c>
      <c r="F6" s="3" t="n">
        <f aca="false">E6*PI()/180</f>
        <v>0.10471975511966</v>
      </c>
      <c r="G6" s="3" t="n">
        <f aca="false">E6/A6</f>
        <v>2</v>
      </c>
      <c r="H6" s="4"/>
      <c r="I6" s="6" t="n">
        <v>1.4</v>
      </c>
      <c r="J6" s="6" t="n">
        <v>152</v>
      </c>
      <c r="K6" s="6" t="n">
        <v>4</v>
      </c>
      <c r="L6" s="6" t="n">
        <f aca="false">J6+0.2*K6</f>
        <v>152.8</v>
      </c>
      <c r="M6" s="6" t="n">
        <f aca="false">L6-147.4</f>
        <v>5.40000000000001</v>
      </c>
      <c r="N6" s="5" t="n">
        <f aca="false">M6*PI()/180</f>
        <v>0.0942477796076939</v>
      </c>
      <c r="O6" s="6" t="n">
        <f aca="false">N6/I6</f>
        <v>0.0673198425769242</v>
      </c>
    </row>
    <row r="7" customFormat="false" ht="15.75" hidden="false" customHeight="false" outlineLevel="0" collapsed="false">
      <c r="A7" s="2" t="n">
        <v>0</v>
      </c>
      <c r="B7" s="2"/>
      <c r="C7" s="2"/>
      <c r="D7" s="2"/>
      <c r="E7" s="2"/>
      <c r="F7" s="3"/>
      <c r="G7" s="2"/>
      <c r="H7" s="4"/>
      <c r="I7" s="6" t="n">
        <v>2</v>
      </c>
      <c r="J7" s="6" t="n">
        <v>154</v>
      </c>
      <c r="K7" s="6" t="n">
        <v>2</v>
      </c>
      <c r="L7" s="6" t="n">
        <f aca="false">J7+0.2*K7</f>
        <v>154.4</v>
      </c>
      <c r="M7" s="6" t="n">
        <f aca="false">L7-147.4</f>
        <v>7</v>
      </c>
      <c r="N7" s="5" t="n">
        <f aca="false">M7*PI()/180</f>
        <v>0.122173047639603</v>
      </c>
      <c r="O7" s="6" t="n">
        <f aca="false">N7/I7</f>
        <v>0.0610865238198015</v>
      </c>
    </row>
    <row r="8" customFormat="false" ht="15.75" hidden="false" customHeight="false" outlineLevel="0" collapsed="false">
      <c r="H8" s="4"/>
      <c r="I8" s="6" t="n">
        <v>2.6</v>
      </c>
      <c r="J8" s="6" t="n">
        <v>156</v>
      </c>
      <c r="K8" s="6" t="n">
        <v>2</v>
      </c>
      <c r="L8" s="6" t="n">
        <f aca="false">J8+0.2*K8</f>
        <v>156.4</v>
      </c>
      <c r="M8" s="6" t="n">
        <f aca="false">L8-147.4</f>
        <v>9</v>
      </c>
      <c r="N8" s="5" t="n">
        <f aca="false">M8*PI()/180</f>
        <v>0.15707963267949</v>
      </c>
      <c r="O8" s="6" t="n">
        <f aca="false">N8/I8</f>
        <v>0.0604152433382653</v>
      </c>
    </row>
    <row r="9" customFormat="false" ht="15.75" hidden="false" customHeight="false" outlineLevel="0" collapsed="false">
      <c r="H9" s="4"/>
      <c r="I9" s="6" t="n">
        <v>3.2</v>
      </c>
      <c r="J9" s="6" t="n">
        <v>158</v>
      </c>
      <c r="K9" s="6" t="n">
        <v>1</v>
      </c>
      <c r="L9" s="6" t="n">
        <f aca="false">J9+0.2*K9</f>
        <v>158.2</v>
      </c>
      <c r="M9" s="6" t="n">
        <f aca="false">L9-147.4</f>
        <v>10.8</v>
      </c>
      <c r="N9" s="5" t="n">
        <f aca="false">M9*PI()/180</f>
        <v>0.188495559215387</v>
      </c>
      <c r="O9" s="6" t="n">
        <f aca="false">N9/I9</f>
        <v>0.0589048622548085</v>
      </c>
    </row>
  </sheetData>
  <printOptions headings="false" gridLines="true" gridLinesSet="true" horizontalCentered="true" verticalCentered="false"/>
  <pageMargins left="0.7" right="0.7" top="0.75" bottom="0.75" header="0.511811023622047" footer="0.511811023622047"/>
  <pageSetup paperSize="1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2025-09-20T10:44:36Z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